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0dbaee963740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3a446226e8974b53"/>
    <x:sheet xmlns:r="http://schemas.openxmlformats.org/officeDocument/2006/relationships" name="RebateCalc" sheetId="2" r:id="R9643c14393c342ea"/>
    <x:sheet xmlns:r="http://schemas.openxmlformats.org/officeDocument/2006/relationships" name="Checks" sheetId="3" r:id="R56f1448afc374c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2ab8539ede4c47" /><Relationship Type="http://schemas.openxmlformats.org/officeDocument/2006/relationships/theme" Target="/xl/theme/theme1.xml" Id="Rd1940a959ee4452c" /><Relationship Type="http://schemas.openxmlformats.org/officeDocument/2006/relationships/sharedStrings" Target="/xl/sharedStrings.xml" Id="R93feff6f29744abf" /><Relationship Type="http://schemas.openxmlformats.org/officeDocument/2006/relationships/worksheet" Target="/xl/worksheets/sheet1.xml" Id="R3a446226e8974b53" /><Relationship Type="http://schemas.openxmlformats.org/officeDocument/2006/relationships/worksheet" Target="/xl/worksheets/sheet2.xml" Id="R9643c14393c342ea" /><Relationship Type="http://schemas.openxmlformats.org/officeDocument/2006/relationships/worksheet" Target="/xl/worksheets/sheet3.xml" Id="R56f1448afc374c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IF(L6&lt;100000,0,IF(L6&lt;=250000,0.02,IF(L6&lt;500000,0.03,0.04)))</x:f>
        <x:v>0.02</x:v>
      </x:c>
      <x:c r="O6" s="48" t="n">
        <x:f>L6*N6</x:f>
        <x:v>5000</x:v>
      </x:c>
      <x:c r="P6" s="51" t="n">
        <x:f>IF(AND(J6&gt;=1,K6&lt;&gt;"Y"),0,IF(AND(H6&lt;0.95,I6&gt;0.02),0.6,IF(OR(H6&lt;0.95,I6&gt;0.02),0.75,1)))</x:f>
        <x:v>1</x:v>
      </x:c>
      <x:c r="Q6" s="51" t="n">
        <x:f>IF(M6&lt;90,0.5,1)</x:f>
        <x:v>1</x:v>
      </x:c>
      <x:c r="R6" s="48" t="n">
        <x:f>O6*P6*Q6</x:f>
        <x:v>5000</x:v>
      </x:c>
      <x:c r="S6" s="48" t="n">
        <x:f>ROUND(MIN(R6,20000),2)</x:f>
        <x:v>5000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