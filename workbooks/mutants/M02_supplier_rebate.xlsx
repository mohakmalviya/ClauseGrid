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04a04aa3244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9e4646640da4574"/>
    <x:sheet xmlns:r="http://schemas.openxmlformats.org/officeDocument/2006/relationships" name="RebateCalc" sheetId="2" r:id="R03be8aafd2e54840"/>
    <x:sheet xmlns:r="http://schemas.openxmlformats.org/officeDocument/2006/relationships" name="Checks" sheetId="3" r:id="R99d4dfe688fd47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</x:numFmts>
  <x:fonts count="11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3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c619b861ac449f" /><Relationship Type="http://schemas.openxmlformats.org/officeDocument/2006/relationships/theme" Target="/xl/theme/theme1.xml" Id="R58859628be70470f" /><Relationship Type="http://schemas.openxmlformats.org/officeDocument/2006/relationships/sharedStrings" Target="/xl/sharedStrings.xml" Id="Ra4a95ed9999a4974" /><Relationship Type="http://schemas.openxmlformats.org/officeDocument/2006/relationships/worksheet" Target="/xl/worksheets/sheet1.xml" Id="R79e4646640da4574" /><Relationship Type="http://schemas.openxmlformats.org/officeDocument/2006/relationships/worksheet" Target="/xl/worksheets/sheet2.xml" Id="R03be8aafd2e54840" /><Relationship Type="http://schemas.openxmlformats.org/officeDocument/2006/relationships/worksheet" Target="/xl/worksheets/sheet3.xml" Id="R99d4dfe688fd47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Tenure multiplier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MAX(0,E6-F6)</x:f>
        <x:v>250000</x:v>
      </x:c>
      <x:c r="M6" s="49" t="n">
        <x:f>MAX(0,C6-MAX(B6,D6)+1)</x:f>
        <x:v>90</x:v>
      </x:c>
      <x:c r="N6" s="50" t="n">
        <x:f>IF(L6&lt;100000,0,IF(L6&lt;250000,0.02,IF(L6&lt;500000,0.03,0.04)))</x:f>
        <x:v>0.03</x:v>
      </x:c>
      <x:c r="O6" s="48" t="n">
        <x:f>L6*N6</x:f>
        <x:v>7500</x:v>
      </x:c>
      <x:c r="P6" s="51" t="n">
        <x:f>IF(AND(J6&gt;=1,K6&lt;&gt;"Y"),0,IF(AND(H6&lt;0.95,I6&gt;0.02),0.6,IF(OR(H6&lt;0.95,I6&gt;0.02),0.75,1)))</x:f>
        <x:v>1</x:v>
      </x:c>
      <x:c r="Q6" s="51" t="n">
        <x:f>IF(M6&lt;90,0.5,1)</x:f>
        <x:v>1</x:v>
      </x:c>
      <x:c r="R6" s="48" t="n">
        <x:f>O6*P6*Q6</x:f>
        <x:v>7500</x:v>
      </x:c>
      <x:c r="S6" s="48" t="n">
        <x:f>ROUND(MIN(R6,20000),2)</x:f>
        <x:v>7500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55" t="str">
        <x:v>Model Controls</x:v>
      </x:c>
      <x:c r="B1" s="55"/>
      <x:c r="C1" s="55"/>
      <x:c r="D1" s="55"/>
      <x:c r="E1" s="55"/>
      <x:c r="F1" s="55"/>
    </x:row>
    <x:row r="2">
      <x:c r="A2" s="55"/>
      <x:c r="B2" s="55"/>
      <x:c r="C2" s="55"/>
      <x:c r="D2" s="55"/>
      <x:c r="E2" s="55"/>
      <x:c r="F2" s="55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56" t="str">
        <x:v>MODEL STATUS</x:v>
      </x:c>
      <x:c r="B10" s="56"/>
      <x:c r="C10" s="56"/>
      <x:c r="D10" s="56"/>
      <x:c r="E10" s="59" t="str">
        <x:f>IF(COUNTIF(E5:E8,"FAIL")=0,"PASS","FAIL")</x:f>
        <x:v>PASS</x:v>
      </x:c>
      <x:c r="F10" s="59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