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c6e658c75b43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93cb242ef8e84938"/>
    <x:sheet xmlns:r="http://schemas.openxmlformats.org/officeDocument/2006/relationships" name="RebateCalc" sheetId="2" r:id="R7e92385072e44b41"/>
    <x:sheet xmlns:r="http://schemas.openxmlformats.org/officeDocument/2006/relationships" name="Checks" sheetId="3" r:id="R7dd9cddba9fd4c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$#,##0.00;[Red]($#,##0.00);-"/>
    <x:numFmt numFmtId="202" formatCode="0.0%;[Red](0.0%);-"/>
    <x:numFmt numFmtId="203" formatCode="0"/>
    <x:numFmt numFmtId="204" formatCode="0.0%"/>
    <x:numFmt numFmtId="205" formatCode="0.00x"/>
  </x:numFmts>
  <x:fonts count="11">
    <x:font>
      <x:sz val="11"/>
      <x:name val="Carlito"/>
    </x:font>
    <x:font>
      <x:b/>
      <x:sz val="22"/>
      <x:color rgb="FFFFFFFF"/>
      <x:name val="Carlito"/>
    </x:font>
    <x:font>
      <x:b/>
      <x:sz val="11"/>
      <x:color rgb="FF12233F"/>
      <x:name val="Carlito"/>
    </x:font>
    <x:font>
      <x:sz val="11"/>
      <x:color rgb="FF334155"/>
      <x:name val="Carlito"/>
    </x:font>
    <x:font>
      <x:b/>
      <x:sz val="18"/>
      <x:color rgb="FFFFFFFF"/>
      <x:name val="Carlito"/>
    </x:font>
    <x:font>
      <x:i/>
      <x:sz val="11"/>
      <x:color rgb="FF234E83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475569"/>
      <x:name val="Carlito"/>
    </x:font>
    <x:font>
      <x:b/>
      <x:sz val="11"/>
      <x:color rgb="FF176B38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2233F"/>
      </x:patternFill>
    </x:fill>
    <x:fill>
      <x:patternFill patternType="solid">
        <x:fgColor rgb="FFEAF1FB"/>
      </x:patternFill>
    </x:fill>
    <x:fill>
      <x:patternFill patternType="solid">
        <x:fgColor rgb="FFF7F9FC"/>
      </x:patternFill>
    </x:fill>
    <x:fill>
      <x:patternFill patternType="solid">
        <x:fgColor rgb="FFDCE9F9"/>
      </x:patternFill>
    </x:fill>
    <x:fill>
      <x:patternFill patternType="solid">
        <x:fgColor rgb="FF244A78"/>
      </x:patternFill>
    </x:fill>
    <x:fill>
      <x:patternFill patternType="solid">
        <x:fgColor rgb="FFFFF8DD"/>
      </x:patternFill>
    </x:fill>
    <x:fill>
      <x:patternFill patternType="solid">
        <x:fgColor rgb="FFF3F6FA"/>
      </x:patternFill>
    </x:fill>
    <x:fill>
      <x:patternFill patternType="solid">
        <x:fgColor rgb="FFDFF4E5"/>
      </x:patternFill>
    </x:fill>
  </x:fills>
  <x:borders count="13">
    <x:border/>
    <x:border>
      <x:left style="thin">
        <x:color rgb="FFB8C4D6"/>
      </x:left>
      <x:top style="thin">
        <x:color rgb="FFB8C4D6"/>
      </x:top>
    </x:border>
    <x:border>
      <x:right style="thin">
        <x:color rgb="FFB8C4D6"/>
      </x:right>
      <x:top style="thin">
        <x:color rgb="FFB8C4D6"/>
      </x:top>
    </x:border>
    <x:border>
      <x:left style="thin">
        <x:color rgb="FFB8C4D6"/>
      </x:left>
    </x:border>
    <x:border>
      <x:right style="thin">
        <x:color rgb="FFB8C4D6"/>
      </x:right>
    </x:border>
    <x:border>
      <x:left style="thin">
        <x:color rgb="FFB8C4D6"/>
      </x:left>
      <x:bottom style="thin">
        <x:color rgb="FFB8C4D6"/>
      </x:bottom>
    </x:border>
    <x:border>
      <x:right style="thin">
        <x:color rgb="FFB8C4D6"/>
      </x:right>
      <x:bottom style="thin">
        <x:color rgb="FFB8C4D6"/>
      </x:bottom>
    </x:border>
    <x:border>
      <x:right style="thin">
        <x:color rgb="FF7890AE"/>
      </x:right>
    </x:border>
    <x:border>
      <x:left style="thin">
        <x:color rgb="FF7890AE"/>
      </x:left>
      <x:right style="thin">
        <x:color rgb="FF7890AE"/>
      </x:right>
    </x:border>
    <x:border>
      <x:left style="thin">
        <x:color rgb="FF7890AE"/>
      </x:left>
    </x:border>
    <x:border>
      <x:left style="thin">
        <x:color rgb="FFAAB6C7"/>
      </x:left>
      <x:top style="thin">
        <x:color rgb="FFAAB6C7"/>
      </x:top>
      <x:bottom style="thin">
        <x:color rgb="FFAAB6C7"/>
      </x:bottom>
    </x:border>
    <x:border>
      <x:top style="thin">
        <x:color rgb="FFAAB6C7"/>
      </x:top>
      <x:bottom style="thin">
        <x:color rgb="FFAAB6C7"/>
      </x:bottom>
    </x:border>
    <x:border>
      <x:right style="thin">
        <x:color rgb="FFAAB6C7"/>
      </x:right>
      <x:top style="thin">
        <x:color rgb="FFAAB6C7"/>
      </x:top>
      <x:bottom style="thin">
        <x:color rgb="FFAAB6C7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7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horizontal="center" wrapText="1"/>
    </x:xf>
    <x:xf numFmtId="0" fontId="6" fillId="6" borderId="8" xfId="0" applyNumberFormat="1" applyFont="1" applyFill="1" applyBorder="1" applyAlignment="1">
      <x:alignment horizontal="center" wrapText="1"/>
    </x:xf>
    <x:xf numFmtId="0" fontId="6" fillId="6" borderId="9" xfId="0" applyNumberFormat="1" applyFont="1" applyFill="1" applyBorder="1" applyAlignment="1">
      <x:alignment horizontal="center" wrapText="1"/>
    </x:xf>
    <x:xf numFmtId="0" fontId="6" fillId="6" borderId="7" xfId="0" applyNumberFormat="1" applyFont="1" applyFill="1" applyBorder="1" applyAlignment="1">
      <x:alignment horizontal="center" vertical="center" wrapText="1"/>
    </x:xf>
    <x:xf numFmtId="0" fontId="6" fillId="6" borderId="8" xfId="0" applyNumberFormat="1" applyFont="1" applyFill="1" applyBorder="1" applyAlignment="1">
      <x:alignment horizontal="center" vertical="center" wrapText="1"/>
    </x:xf>
    <x:xf numFmtId="0" fontId="6" fillId="6" borderId="9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7" fillId="7" borderId="10" xfId="0" applyNumberFormat="1" applyFont="1" applyFill="1" applyBorder="1"/>
    <x:xf numFmtId="0" fontId="7" fillId="7" borderId="11" xfId="0" applyNumberFormat="1" applyFont="1" applyFill="1" applyBorder="1"/>
    <x:xf numFmtId="0" fontId="8" fillId="8" borderId="11" xfId="0" applyNumberFormat="1" applyFont="1" applyFill="1" applyBorder="1"/>
    <x:xf numFmtId="0" fontId="8" fillId="8" borderId="12" xfId="0" applyNumberFormat="1" applyFont="1" applyFill="1" applyBorder="1"/>
    <x:xf numFmtId="200" fontId="7" fillId="7" borderId="11" xfId="0" applyNumberFormat="1" applyFont="1" applyFill="1" applyBorder="1"/>
    <x:xf numFmtId="201" fontId="7" fillId="7" borderId="11" xfId="0" applyNumberFormat="1" applyFont="1" applyFill="1" applyBorder="1"/>
    <x:xf numFmtId="202" fontId="7" fillId="7" borderId="11" xfId="0" applyNumberFormat="1" applyFont="1" applyFill="1" applyBorder="1"/>
    <x:xf numFmtId="203" fontId="7" fillId="7" borderId="11" xfId="0" applyNumberFormat="1" applyFont="1" applyFill="1" applyBorder="1"/>
    <x:xf numFmtId="201" fontId="8" fillId="8" borderId="11" xfId="0" applyNumberFormat="1" applyFont="1" applyFill="1" applyBorder="1"/>
    <x:xf numFmtId="203" fontId="8" fillId="8" borderId="11" xfId="0" applyNumberFormat="1" applyFont="1" applyFill="1" applyBorder="1"/>
    <x:xf numFmtId="204" fontId="8" fillId="8" borderId="11" xfId="0" applyNumberFormat="1" applyFont="1" applyFill="1" applyBorder="1"/>
    <x:xf numFmtId="205" fontId="8" fillId="8" borderId="11" xfId="0" applyNumberFormat="1" applyFont="1" applyFill="1" applyBorder="1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/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bf4ec891274dbd" /><Relationship Type="http://schemas.openxmlformats.org/officeDocument/2006/relationships/theme" Target="/xl/theme/theme1.xml" Id="R8f2e28e9ee0e40af" /><Relationship Type="http://schemas.openxmlformats.org/officeDocument/2006/relationships/sharedStrings" Target="/xl/sharedStrings.xml" Id="Re6dbf41624434435" /><Relationship Type="http://schemas.openxmlformats.org/officeDocument/2006/relationships/worksheet" Target="/xl/worksheets/sheet1.xml" Id="R93cb242ef8e84938" /><Relationship Type="http://schemas.openxmlformats.org/officeDocument/2006/relationships/worksheet" Target="/xl/worksheets/sheet2.xml" Id="R7e92385072e44b41" /><Relationship Type="http://schemas.openxmlformats.org/officeDocument/2006/relationships/worksheet" Target="/xl/worksheets/sheet3.xml" Id="R7dd9cddba9fd4c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4" t="str">
        <x:v>Supplier Rebate &amp; SLA Settlement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7" t="str">
        <x:v>Workbook</x:v>
      </x:c>
      <x:c r="B4" s="8" t="str">
        <x:v>Quarterly controlled calculator</x:v>
      </x:c>
    </x:row>
    <x:row r="5">
      <x:c r="A5" s="9" t="str">
        <x:v>Policy</x:v>
      </x:c>
      <x:c r="B5" s="10" t="str">
        <x:v>SR-SLA-2026.1</x:v>
      </x:c>
    </x:row>
    <x:row r="6">
      <x:c r="A6" s="9" t="str">
        <x:v>Effective</x:v>
      </x:c>
      <x:c r="B6" s="10" t="str">
        <x:v>2026-01-01</x:v>
      </x:c>
    </x:row>
    <x:row r="7">
      <x:c r="A7" s="9" t="str">
        <x:v>Owner</x:v>
      </x:c>
      <x:c r="B7" s="10" t="str">
        <x:v>Procurement Operations</x:v>
      </x:c>
    </x:row>
    <x:row r="8">
      <x:c r="A8" s="9" t="str">
        <x:v>Currency</x:v>
      </x:c>
      <x:c r="B8" s="10" t="str">
        <x:v>USD</x:v>
      </x:c>
    </x:row>
    <x:row r="9">
      <x:c r="A9" s="9" t="str">
        <x:v>Data</x:v>
      </x:c>
      <x:c r="B9" s="10" t="str">
        <x:v>Synthetic only</x:v>
      </x:c>
    </x:row>
    <x:row r="10">
      <x:c r="A10" s="11" t="str">
        <x:v>Status</x:v>
      </x:c>
      <x:c r="B10" s="12" t="str">
        <x:v>See Checks sheet</x:v>
      </x:c>
    </x:row>
    <x:row r="12">
      <x:c r="A12" s="16" t="str">
        <x:v>Use RebateCalc to review one settlement at a time. Blue-font cells are editable inputs; black-font cells are formulas. Do not add macros, external links, or network refreshes.</x:v>
      </x:c>
      <x:c r="B12" s="16"/>
      <x:c r="C12" s="16"/>
      <x:c r="D12" s="16"/>
      <x:c r="E12" s="16"/>
      <x:c r="F12" s="16"/>
      <x:c r="G12" s="16"/>
      <x:c r="H12" s="16"/>
    </x:row>
    <x:row r="13">
      <x:c r="A13" s="16"/>
      <x:c r="B13" s="16"/>
      <x:c r="C13" s="16"/>
      <x:c r="D13" s="16"/>
      <x:c r="E13" s="16"/>
      <x:c r="F13" s="16"/>
      <x:c r="G13" s="16"/>
      <x:c r="H13" s="16"/>
    </x:row>
    <x:row r="14">
      <x:c r="A14" s="16"/>
      <x:c r="B14" s="16"/>
      <x:c r="C14" s="16"/>
      <x:c r="D14" s="16"/>
      <x:c r="E14" s="16"/>
      <x:c r="F14" s="16"/>
      <x:c r="G14" s="16"/>
      <x:c r="H14" s="16"/>
    </x:row>
  </x:sheetData>
  <x:mergeCells>
    <x:mergeCell ref="A1:H2"/>
    <x:mergeCell ref="A12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22" hidden="0" customWidth="1"/>
  </x:cols>
  <x:sheetData>
    <x:row r="1">
      <x:c r="A1" s="19" t="str">
        <x:v>Quarterly Supplier Rebate Calculator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</x:row>
    <x:row r="3">
      <x:c r="A3" s="21" t="str">
        <x:v>Inputs A:K | Controlled calculations L:T | Policy SR-SLA-2026.1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5" ht="44" customHeight="1">
      <x:c r="A5" s="33" t="str">
        <x:v>Supplier ID</x:v>
      </x:c>
      <x:c r="B5" s="34" t="str">
        <x:v>Period start</x:v>
      </x:c>
      <x:c r="C5" s="34" t="str">
        <x:v>Period end</x:v>
      </x:c>
      <x:c r="D5" s="34" t="str">
        <x:v>Contract start</x:v>
      </x:c>
      <x:c r="E5" s="34" t="str">
        <x:v>Gross eligible invoices</x:v>
      </x:c>
      <x:c r="F5" s="34" t="str">
        <x:v>Returns &amp; credits</x:v>
      </x:c>
      <x:c r="G5" s="34" t="str">
        <x:v>Pass-through charges</x:v>
      </x:c>
      <x:c r="H5" s="34" t="str">
        <x:v>On-time rate</x:v>
      </x:c>
      <x:c r="I5" s="34" t="str">
        <x:v>Defect rate</x:v>
      </x:c>
      <x:c r="J5" s="34" t="str">
        <x:v>Critical incidents</x:v>
      </x:c>
      <x:c r="K5" s="34" t="str">
        <x:v>Critical waiver</x:v>
      </x:c>
      <x:c r="L5" s="34" t="str">
        <x:v>Eligible spend</x:v>
      </x:c>
      <x:c r="M5" s="34" t="str">
        <x:v>Active days</x:v>
      </x:c>
      <x:c r="N5" s="34" t="str">
        <x:v>Tier rate</x:v>
      </x:c>
      <x:c r="O5" s="34" t="str">
        <x:v>Gross rebate</x:v>
      </x:c>
      <x:c r="P5" s="34" t="str">
        <x:v>SLA multiplier</x:v>
      </x:c>
      <x:c r="Q5" s="34" t="str">
        <x:v>Tenure multiplier</x:v>
      </x:c>
      <x:c r="R5" s="34" t="str">
        <x:v>Adjusted rebate</x:v>
      </x:c>
      <x:c r="S5" s="34" t="str">
        <x:v>Final rebate</x:v>
      </x:c>
      <x:c r="T5" s="35" t="str">
        <x:v>Decision code</x:v>
      </x:c>
    </x:row>
    <x:row r="6">
      <x:c r="A6" s="40" t="str">
        <x:v>SUP-1042</x:v>
      </x:c>
      <x:c r="B6" s="44" t="n">
        <x:v>46023</x:v>
      </x:c>
      <x:c r="C6" s="44" t="n">
        <x:v>46112</x:v>
      </x:c>
      <x:c r="D6" s="44" t="n">
        <x:v>45658</x:v>
      </x:c>
      <x:c r="E6" s="45" t="n">
        <x:v>250000</x:v>
      </x:c>
      <x:c r="F6" s="45" t="n">
        <x:v>0</x:v>
      </x:c>
      <x:c r="G6" s="45" t="n">
        <x:v>0</x:v>
      </x:c>
      <x:c r="H6" s="46" t="n">
        <x:v>0.98</x:v>
      </x:c>
      <x:c r="I6" s="46" t="n">
        <x:v>0.01</x:v>
      </x:c>
      <x:c r="J6" s="47" t="n">
        <x:v>0</x:v>
      </x:c>
      <x:c r="K6" s="41" t="str">
        <x:v>N</x:v>
      </x:c>
      <x:c r="L6" s="48" t="n">
        <x:f>MAX(0,E6-F6-G6)</x:f>
        <x:v>250000</x:v>
      </x:c>
      <x:c r="M6" s="49" t="n">
        <x:f>MAX(0,C6-MAX(B6,D6)+1)</x:f>
        <x:v>90</x:v>
      </x:c>
      <x:c r="N6" s="50" t="n">
        <x:f>IF(L6&lt;100000,0,IF(L6&lt;250000,0.02,IF(L6&lt;500000,0.03,0.04)))</x:f>
        <x:v>0.03</x:v>
      </x:c>
      <x:c r="O6" s="48" t="n">
        <x:f>L6*N6</x:f>
        <x:v>7500</x:v>
      </x:c>
      <x:c r="P6" s="51" t="n">
        <x:f>IF(AND(J6&gt;=1,K6&lt;&gt;"Y"),0,IF(AND(H6&lt;0.95,I6&gt;=0.02),0.6,IF(OR(H6&lt;0.95,I6&gt;=0.02),0.75,1)))</x:f>
        <x:v>1</x:v>
      </x:c>
      <x:c r="Q6" s="51" t="n">
        <x:f>IF(M6&lt;90,0.5,1)</x:f>
        <x:v>1</x:v>
      </x:c>
      <x:c r="R6" s="48" t="n">
        <x:f>O6*P6*Q6</x:f>
        <x:v>7500</x:v>
      </x:c>
      <x:c r="S6" s="48" t="n">
        <x:f>ROUND(MIN(R6,20000),2)</x:f>
        <x:v>7500</x:v>
      </x:c>
      <x:c r="T6" s="43" t="str">
        <x:f>IF(AND(J6&gt;=1,K6&lt;&gt;"Y"),"EXCLUDED_CRITICAL",IF(S6=0,"NO_REBATE","PAYABLE"))</x:f>
        <x:v>PAYABLE</x:v>
      </x:c>
    </x:row>
    <x:row r="8">
      <x:c r="A8" s="54" t="str">
        <x:v>Control note: Settlement formulas implement policy rules RB-101 through RB-303. Formula changes require cited evidence, discriminating counterexamples, a minimal diff, and reviewer approval. The original workbook is immutable.</x:v>
      </x:c>
      <x:c r="B8" s="54"/>
      <x:c r="C8" s="54"/>
      <x:c r="D8" s="54"/>
      <x:c r="E8" s="54"/>
      <x:c r="F8" s="54"/>
      <x:c r="G8" s="54"/>
      <x:c r="H8" s="54"/>
      <x:c r="I8" s="54"/>
      <x:c r="J8" s="54"/>
      <x:c r="K8" s="54"/>
    </x:row>
    <x:row r="9">
      <x:c r="A9" s="54"/>
      <x:c r="B9" s="54"/>
      <x:c r="C9" s="54"/>
      <x:c r="D9" s="54"/>
      <x:c r="E9" s="54"/>
      <x:c r="F9" s="54"/>
      <x:c r="G9" s="54"/>
      <x:c r="H9" s="54"/>
      <x:c r="I9" s="54"/>
      <x:c r="J9" s="54"/>
      <x:c r="K9" s="54"/>
    </x:row>
    <x:row r="10">
      <x:c r="A10" s="54"/>
      <x:c r="B10" s="54"/>
      <x:c r="C10" s="54"/>
      <x:c r="D10" s="54"/>
      <x:c r="E10" s="54"/>
      <x:c r="F10" s="54"/>
      <x:c r="G10" s="54"/>
      <x:c r="H10" s="54"/>
      <x:c r="I10" s="54"/>
      <x:c r="J10" s="54"/>
      <x:c r="K10" s="54"/>
    </x:row>
  </x:sheetData>
  <x:mergeCells>
    <x:mergeCell ref="A1:T2"/>
    <x:mergeCell ref="A3:T3"/>
    <x:mergeCell ref="A8:K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5" hidden="0" customWidth="1"/>
  </x:cols>
  <x:sheetData>
    <x:row r="1">
      <x:c r="A1" s="55" t="str">
        <x:v>Model Controls</x:v>
      </x:c>
      <x:c r="B1" s="55"/>
      <x:c r="C1" s="55"/>
      <x:c r="D1" s="55"/>
      <x:c r="E1" s="55"/>
      <x:c r="F1" s="55"/>
    </x:row>
    <x:row r="2">
      <x:c r="A2" s="55"/>
      <x:c r="B2" s="55"/>
      <x:c r="C2" s="55"/>
      <x:c r="D2" s="55"/>
      <x:c r="E2" s="55"/>
      <x:c r="F2" s="55"/>
    </x:row>
    <x:row r="4">
      <x:c r="A4" s="23" t="str">
        <x:v>Check</x:v>
      </x:c>
      <x:c r="B4" s="23" t="str">
        <x:v>Actual</x:v>
      </x:c>
      <x:c r="C4" s="23" t="str">
        <x:v>Expected</x:v>
      </x:c>
      <x:c r="D4" s="23" t="str">
        <x:v>Difference</x:v>
      </x:c>
      <x:c r="E4" s="23" t="str">
        <x:v>Status</x:v>
      </x:c>
      <x:c r="F4" s="23" t="str">
        <x:v>Where to fix</x:v>
      </x:c>
    </x:row>
    <x:row r="5">
      <x:c r="A5" t="str">
        <x:v>Period order</x:v>
      </x:c>
      <x:c r="B5" t="n">
        <x:f>RebateCalc!C6-RebateCalc!B6</x:f>
        <x:v>89</x:v>
      </x:c>
      <x:c r="C5" t="str">
        <x:v>&gt;=0</x:v>
      </x:c>
      <x:c r="D5" t="n">
        <x:f>MIN(0,B5)</x:f>
        <x:v>0</x:v>
      </x:c>
      <x:c r="E5" t="str">
        <x:f>IF(D5=0,"OK","FAIL")</x:f>
        <x:v>OK</x:v>
      </x:c>
      <x:c r="F5" t="str">
        <x:v>RebateCalc!B6:C6</x:v>
      </x:c>
    </x:row>
    <x:row r="6">
      <x:c r="A6" t="str">
        <x:v>Non-negative deductions</x:v>
      </x:c>
      <x:c r="B6" t="n">
        <x:f>MIN(RebateCalc!F6,RebateCalc!G6)</x:f>
        <x:v>0</x:v>
      </x:c>
      <x:c r="C6" t="str">
        <x:v>&gt;=0</x:v>
      </x:c>
      <x:c r="D6" t="n">
        <x:f>MIN(0,B6)</x:f>
        <x:v>0</x:v>
      </x:c>
      <x:c r="E6" t="str">
        <x:f>IF(D6=0,"OK","FAIL")</x:f>
        <x:v>OK</x:v>
      </x:c>
      <x:c r="F6" t="str">
        <x:v>RebateCalc!F6:G6</x:v>
      </x:c>
    </x:row>
    <x:row r="7">
      <x:c r="A7" t="str">
        <x:v>Rate bounds</x:v>
      </x:c>
      <x:c r="B7" t="n">
        <x:f>MIN(RebateCalc!H6,RebateCalc!I6,1-RebateCalc!H6,1-RebateCalc!I6)</x:f>
        <x:v>0.01</x:v>
      </x:c>
      <x:c r="C7" t="str">
        <x:v>&gt;=0</x:v>
      </x:c>
      <x:c r="D7" t="n">
        <x:f>MIN(0,B7)</x:f>
        <x:v>0</x:v>
      </x:c>
      <x:c r="E7" t="str">
        <x:f>IF(D7=0,"OK","FAIL")</x:f>
        <x:v>OK</x:v>
      </x:c>
      <x:c r="F7" t="str">
        <x:v>RebateCalc!H6:I6</x:v>
      </x:c>
    </x:row>
    <x:row r="8">
      <x:c r="A8" t="str">
        <x:v>Waiver code</x:v>
      </x:c>
      <x:c r="B8" t="n">
        <x:f>IF(OR(RebateCalc!K6="Y",RebateCalc!K6="N"),1,0)</x:f>
        <x:v>1</x:v>
      </x:c>
      <x:c r="C8" t="str">
        <x:v>1</x:v>
      </x:c>
      <x:c r="D8" t="n">
        <x:f>B8-1</x:f>
        <x:v>0</x:v>
      </x:c>
      <x:c r="E8" t="str">
        <x:f>IF(D8=0,"OK","FAIL")</x:f>
        <x:v>OK</x:v>
      </x:c>
      <x:c r="F8" t="str">
        <x:v>RebateCalc!K6</x:v>
      </x:c>
    </x:row>
    <x:row r="10">
      <x:c r="A10" s="56" t="str">
        <x:v>MODEL STATUS</x:v>
      </x:c>
      <x:c r="B10" s="56"/>
      <x:c r="C10" s="56"/>
      <x:c r="D10" s="56"/>
      <x:c r="E10" s="59" t="str">
        <x:f>IF(COUNTIF(E5:E8,"FAIL")=0,"PASS","FAIL")</x:f>
        <x:v>PASS</x:v>
      </x:c>
      <x:c r="F10" s="59"/>
    </x:row>
  </x:sheetData>
  <x:mergeCells>
    <x:mergeCell ref="A1:F2"/>
    <x:mergeCell ref="A10:D10"/>
    <x:mergeCell ref="E10:F10"/>
  </x:mergeCells>
  <x:pageMargins left="0.7" right="0.7" top="0.75" bottom="0.75" header="0.3" footer="0.3"/>
</x:worksheet>
</file>