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b8234e6f5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9e39a767a8d41c0"/>
    <x:sheet xmlns:r="http://schemas.openxmlformats.org/officeDocument/2006/relationships" name="RebateCalc" sheetId="2" r:id="Rb65a7befb115447e"/>
    <x:sheet xmlns:r="http://schemas.openxmlformats.org/officeDocument/2006/relationships" name="TierSchedule" sheetId="3" r:id="Rb8f06adeed624910"/>
    <x:sheet xmlns:r="http://schemas.openxmlformats.org/officeDocument/2006/relationships" name="Checks" sheetId="4" r:id="R4daf88d0651c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  <x:numFmt numFmtId="206" formatCode="$#,##0.0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8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  <x:border>
      <x:left style="thin">
        <x:color rgb="FFB8C4D6"/>
      </x:left>
      <x:right style="thin">
        <x:color rgb="FFB8C4D6"/>
      </x:right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/>
    <x:xf numFmtId="206" fontId="0" fillId="0" borderId="6" xfId="0" applyNumberFormat="1" applyFont="1" applyFill="1" applyBorder="1"/>
    <x:xf numFmtId="206" fontId="0" fillId="0" borderId="14" xfId="0" applyNumberFormat="1" applyFont="1" applyFill="1" applyBorder="1"/>
    <x:xf numFmtId="206" fontId="0" fillId="0" borderId="2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9fedd978b4fa1" /><Relationship Type="http://schemas.openxmlformats.org/officeDocument/2006/relationships/theme" Target="/xl/theme/theme1.xml" Id="R238154f3ba0245b1" /><Relationship Type="http://schemas.openxmlformats.org/officeDocument/2006/relationships/sharedStrings" Target="/xl/sharedStrings.xml" Id="Rd64864f9c728401c" /><Relationship Type="http://schemas.openxmlformats.org/officeDocument/2006/relationships/worksheet" Target="/xl/worksheets/sheet1.xml" Id="R09e39a767a8d41c0" /><Relationship Type="http://schemas.openxmlformats.org/officeDocument/2006/relationships/worksheet" Target="/xl/worksheets/sheet2.xml" Id="Rb65a7befb115447e" /><Relationship Type="http://schemas.openxmlformats.org/officeDocument/2006/relationships/worksheet" Target="/xl/worksheets/sheet3.xml" Id="Rb8f06adeed624910" /><Relationship Type="http://schemas.openxmlformats.org/officeDocument/2006/relationships/worksheet" Target="/xl/worksheets/sheet4.xml" Id="R4daf88d0651c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Effective proration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IF(L6&gt;=500000,0.035,LOOKUP(L6,TierSchedule!A5:A8,TierSchedule!B5:B8))</x:f>
        <x:v>0.03</x:v>
      </x:c>
      <x:c r="O6" s="48" t="n">
        <x:f>L6*N6</x:f>
        <x:v>7500</x:v>
      </x:c>
      <x:c r="P6" s="51" t="n">
        <x:f>IF(K6="Y",1,IF(AND(J6&gt;=1,K6&lt;&gt;"Y"),0,IF(AND(H6&lt;0.95,I6&gt;0.02),0.6,IF(OR(H6&lt;0.95,I6&gt;0.02),0.75,1))))</x:f>
        <x:v>1</x:v>
      </x:c>
      <x:c r="Q6" s="51" t="n">
        <x:f>MIN(1,M6/MAX(1,C6-B6+1))</x:f>
        <x:v>1</x:v>
      </x:c>
      <x:c r="R6" s="48" t="n">
        <x:f>O6*P6*Q6</x:f>
        <x:v>7500</x:v>
      </x:c>
      <x:c r="S6" s="48" t="n">
        <x:f>ROUND(MIN(O6,20000)*P6*Q6,2)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6" t="str">
        <x:v>Controlled ordered tier lookup</x:v>
      </x:c>
      <x:c r="B1" s="56"/>
      <x:c r="C1" s="56"/>
    </x:row>
    <x:row r="2">
      <x:c r="A2" s="56"/>
      <x:c r="B2" s="56"/>
      <x:c r="C2" s="56"/>
    </x:row>
    <x:row r="4">
      <x:c r="A4" s="23" t="str">
        <x:v>Lower bound (inclusive)</x:v>
      </x:c>
      <x:c r="B4" s="23" t="str">
        <x:v>Rate</x:v>
      </x:c>
      <x:c r="C4" s="23" t="str">
        <x:v>Upper-bound behavior</x:v>
      </x:c>
    </x:row>
    <x:row r="5">
      <x:c r="A5" s="64" t="n">
        <x:v>0</x:v>
      </x:c>
      <x:c r="B5" s="67" t="n">
        <x:v>0</x:v>
      </x:c>
      <x:c r="C5" s="58" t="str">
        <x:v>below 100,000</x:v>
      </x:c>
    </x:row>
    <x:row r="6">
      <x:c r="A6" s="65" t="n">
        <x:v>100000</x:v>
      </x:c>
      <x:c r="B6" s="68" t="n">
        <x:v>0.02</x:v>
      </x:c>
      <x:c r="C6" s="61" t="str">
        <x:v>below 250,000</x:v>
      </x:c>
    </x:row>
    <x:row r="7">
      <x:c r="A7" s="65" t="n">
        <x:v>250000</x:v>
      </x:c>
      <x:c r="B7" s="68" t="n">
        <x:v>0.03</x:v>
      </x:c>
      <x:c r="C7" s="61" t="str">
        <x:v>below 500,000</x:v>
      </x:c>
    </x:row>
    <x:row r="8">
      <x:c r="A8" s="66" t="n">
        <x:v>500000</x:v>
      </x:c>
      <x:c r="B8" s="69" t="n">
        <x:v>0.04</x:v>
      </x:c>
      <x:c r="C8" s="63" t="str">
        <x:v>no upper bound</x:v>
      </x:c>
    </x:row>
    <x:row r="10">
      <x:c r="A10" s="54" t="str">
        <x:v>RebateCalc!N6 uses Excel LOOKUP against A5:B8. M03–M05 shift a narrow interval at each inclusive lower bound.</x:v>
      </x:c>
      <x:c r="B10" s="54"/>
      <x:c r="C10" s="54"/>
    </x:row>
    <x:row r="11">
      <x:c r="A11" s="54"/>
      <x:c r="B11" s="54"/>
      <x:c r="C11" s="54"/>
    </x:row>
    <x:row r="12">
      <x:c r="A12" s="54"/>
      <x:c r="B12" s="54"/>
      <x:c r="C12" s="54"/>
    </x:row>
  </x:sheetData>
  <x:mergeCells>
    <x:mergeCell ref="A1:C2"/>
    <x:mergeCell ref="A10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70" t="str">
        <x:v>Model Controls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71" t="str">
        <x:v>MODEL STATUS</x:v>
      </x:c>
      <x:c r="B10" s="71"/>
      <x:c r="C10" s="71"/>
      <x:c r="D10" s="71"/>
      <x:c r="E10" s="74" t="str">
        <x:f>IF(COUNTIF(E5:E8,"FAIL")=0,"PASS","FAIL")</x:f>
        <x:v>PASS</x:v>
      </x:c>
      <x:c r="F10" s="74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