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6f2ada36345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90425f847924f0c"/>
    <x:sheet xmlns:r="http://schemas.openxmlformats.org/officeDocument/2006/relationships" name="RebateCalc" sheetId="2" r:id="R5111b24d33fe4950"/>
    <x:sheet xmlns:r="http://schemas.openxmlformats.org/officeDocument/2006/relationships" name="Checks" sheetId="3" r:id="R3d57db902dd842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a54bba3a8c44ad" /><Relationship Type="http://schemas.openxmlformats.org/officeDocument/2006/relationships/theme" Target="/xl/theme/theme1.xml" Id="R58cf68fa8c774bcd" /><Relationship Type="http://schemas.openxmlformats.org/officeDocument/2006/relationships/sharedStrings" Target="/xl/sharedStrings.xml" Id="R53fd23dd9024465e" /><Relationship Type="http://schemas.openxmlformats.org/officeDocument/2006/relationships/worksheet" Target="/xl/worksheets/sheet1.xml" Id="Rb90425f847924f0c" /><Relationship Type="http://schemas.openxmlformats.org/officeDocument/2006/relationships/worksheet" Target="/xl/worksheets/sheet2.xml" Id="R5111b24d33fe4950" /><Relationship Type="http://schemas.openxmlformats.org/officeDocument/2006/relationships/worksheet" Target="/xl/worksheets/sheet3.xml" Id="R3d57db902dd842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IF(L6&lt;100000,0,IF(L6&lt;250000,0.02,IF(L6&lt;500000,0.03,0.035)))</x:f>
        <x:v>0.03</x:v>
      </x:c>
      <x:c r="O6" s="48" t="n">
        <x:f>L6*N6</x:f>
        <x:v>7500</x:v>
      </x:c>
      <x:c r="P6" s="51" t="n">
        <x:f>IF(K6="Y",1,IF(AND(J6&gt;=1,K6&lt;&gt;"Y"),0,IF(AND(H6&lt;0.95,I6&gt;0.02),0.6,IF(OR(H6&lt;0.95,I6&gt;0.02),0.75,1))))</x:f>
        <x:v>1</x:v>
      </x:c>
      <x:c r="Q6" s="51" t="n">
        <x:f>IF(M6&lt;90,0.5,1)</x:f>
        <x:v>1</x:v>
      </x:c>
      <x:c r="R6" s="48" t="n">
        <x:f>O6*P6*Q6</x:f>
        <x:v>7500</x:v>
      </x:c>
      <x:c r="S6" s="48" t="n">
        <x:f>ROUND(MIN(O6,20000)*P6*Q6,2)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