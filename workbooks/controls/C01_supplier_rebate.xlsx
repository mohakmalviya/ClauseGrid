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ae7c7893a48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53b7d24c92c4eec"/>
    <x:sheet xmlns:r="http://schemas.openxmlformats.org/officeDocument/2006/relationships" name="RebateCalc" sheetId="2" r:id="R9e579ddd495e4d2d"/>
    <x:sheet xmlns:r="http://schemas.openxmlformats.org/officeDocument/2006/relationships" name="TierSchedule" sheetId="3" r:id="R8b0fc476b9dd4de9"/>
    <x:sheet xmlns:r="http://schemas.openxmlformats.org/officeDocument/2006/relationships" name="Checks" sheetId="4" r:id="Rc8f68603d1fa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  <x:numFmt numFmtId="206" formatCode="$#,##0.00"/>
  </x:numFmts>
  <x:fonts count="12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8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  <x:border>
      <x:left style="thin">
        <x:color rgb="FFB8C4D6"/>
      </x:left>
      <x:right style="thin">
        <x:color rgb="FFB8C4D6"/>
      </x:right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" xfId="0" applyNumberFormat="1" applyFont="1" applyFill="1" applyBorder="1"/>
    <x:xf numFmtId="206" fontId="0" fillId="0" borderId="6" xfId="0" applyNumberFormat="1" applyFont="1" applyFill="1" applyBorder="1"/>
    <x:xf numFmtId="206" fontId="0" fillId="0" borderId="14" xfId="0" applyNumberFormat="1" applyFont="1" applyFill="1" applyBorder="1"/>
    <x:xf numFmtId="206" fontId="0" fillId="0" borderId="2" xfId="0" applyNumberFormat="1" applyFont="1" applyFill="1" applyBorder="1"/>
    <x:xf numFmtId="204" fontId="0" fillId="0" borderId="13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ebd1c39ad46f0" /><Relationship Type="http://schemas.openxmlformats.org/officeDocument/2006/relationships/theme" Target="/xl/theme/theme1.xml" Id="R94a4302ad134468f" /><Relationship Type="http://schemas.openxmlformats.org/officeDocument/2006/relationships/sharedStrings" Target="/xl/sharedStrings.xml" Id="R48b2a9c4bd014090" /><Relationship Type="http://schemas.openxmlformats.org/officeDocument/2006/relationships/worksheet" Target="/xl/worksheets/sheet1.xml" Id="R453b7d24c92c4eec" /><Relationship Type="http://schemas.openxmlformats.org/officeDocument/2006/relationships/worksheet" Target="/xl/worksheets/sheet2.xml" Id="R9e579ddd495e4d2d" /><Relationship Type="http://schemas.openxmlformats.org/officeDocument/2006/relationships/worksheet" Target="/xl/worksheets/sheet3.xml" Id="R8b0fc476b9dd4de9" /><Relationship Type="http://schemas.openxmlformats.org/officeDocument/2006/relationships/worksheet" Target="/xl/worksheets/sheet4.xml" Id="Rc8f68603d1fa47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Effective proration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180000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180000</x:v>
      </x:c>
      <x:c r="M6" s="49" t="n">
        <x:f>MAX(0,C6-MAX(B6,D6)+1)</x:f>
        <x:v>90</x:v>
      </x:c>
      <x:c r="N6" s="50" t="n">
        <x:f>LOOKUP(L6,TierSchedule!A5:A8,TierSchedule!B5:B8)</x:f>
        <x:v>0.02</x:v>
      </x:c>
      <x:c r="O6" s="48" t="n">
        <x:f>L6*N6</x:f>
        <x:v>3600</x:v>
      </x:c>
      <x:c r="P6" s="51" t="n">
        <x:f>IF(AND(J6&gt;=1,K6&lt;&gt;"Y"),0,IF(AND(H6&lt;0.95,I6&gt;0.02),0.6,IF(OR(H6&lt;0.95,I6&gt;0.02),0.75,1)))</x:f>
        <x:v>1</x:v>
      </x:c>
      <x:c r="Q6" s="51" t="n">
        <x:f>MIN(1,M6/MAX(1,C6-B6+1))</x:f>
        <x:v>1</x:v>
      </x:c>
      <x:c r="R6" s="48" t="n">
        <x:f>O6*P6*Q6</x:f>
        <x:v>3600</x:v>
      </x:c>
      <x:c r="S6" s="48" t="n">
        <x:f>ROUND(MIN(R6,20000),2)</x:f>
        <x:v>3600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6" t="str">
        <x:v>Controlled ordered tier lookup</x:v>
      </x:c>
      <x:c r="B1" s="56"/>
      <x:c r="C1" s="56"/>
    </x:row>
    <x:row r="2">
      <x:c r="A2" s="56"/>
      <x:c r="B2" s="56"/>
      <x:c r="C2" s="56"/>
    </x:row>
    <x:row r="4">
      <x:c r="A4" s="23" t="str">
        <x:v>Lower bound (inclusive)</x:v>
      </x:c>
      <x:c r="B4" s="23" t="str">
        <x:v>Rate</x:v>
      </x:c>
      <x:c r="C4" s="23" t="str">
        <x:v>Upper-bound behavior</x:v>
      </x:c>
    </x:row>
    <x:row r="5">
      <x:c r="A5" s="64" t="n">
        <x:v>0</x:v>
      </x:c>
      <x:c r="B5" s="67" t="n">
        <x:v>0</x:v>
      </x:c>
      <x:c r="C5" s="58" t="str">
        <x:v>below 100,000</x:v>
      </x:c>
    </x:row>
    <x:row r="6">
      <x:c r="A6" s="65" t="n">
        <x:v>100000</x:v>
      </x:c>
      <x:c r="B6" s="68" t="n">
        <x:v>0.02</x:v>
      </x:c>
      <x:c r="C6" s="61" t="str">
        <x:v>below 250,000</x:v>
      </x:c>
    </x:row>
    <x:row r="7">
      <x:c r="A7" s="65" t="n">
        <x:v>250000</x:v>
      </x:c>
      <x:c r="B7" s="68" t="n">
        <x:v>0.03</x:v>
      </x:c>
      <x:c r="C7" s="61" t="str">
        <x:v>below 500,000</x:v>
      </x:c>
    </x:row>
    <x:row r="8">
      <x:c r="A8" s="66" t="n">
        <x:v>500000</x:v>
      </x:c>
      <x:c r="B8" s="69" t="n">
        <x:v>0.04</x:v>
      </x:c>
      <x:c r="C8" s="63" t="str">
        <x:v>no upper bound</x:v>
      </x:c>
    </x:row>
    <x:row r="10">
      <x:c r="A10" s="54" t="str">
        <x:v>RebateCalc!N6 uses Excel LOOKUP against A5:B8. M03–M05 shift a narrow interval at each inclusive lower bound.</x:v>
      </x:c>
      <x:c r="B10" s="54"/>
      <x:c r="C10" s="54"/>
    </x:row>
    <x:row r="11">
      <x:c r="A11" s="54"/>
      <x:c r="B11" s="54"/>
      <x:c r="C11" s="54"/>
    </x:row>
    <x:row r="12">
      <x:c r="A12" s="54"/>
      <x:c r="B12" s="54"/>
      <x:c r="C12" s="54"/>
    </x:row>
  </x:sheetData>
  <x:mergeCells>
    <x:mergeCell ref="A1:C2"/>
    <x:mergeCell ref="A10:C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70" t="str">
        <x:v>Model Controls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71" t="str">
        <x:v>MODEL STATUS</x:v>
      </x:c>
      <x:c r="B10" s="71"/>
      <x:c r="C10" s="71"/>
      <x:c r="D10" s="71"/>
      <x:c r="E10" s="74" t="str">
        <x:f>IF(COUNTIF(E5:E8,"FAIL")=0,"PASS","FAIL")</x:f>
        <x:v>PASS</x:v>
      </x:c>
      <x:c r="F10" s="74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