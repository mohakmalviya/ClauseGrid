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5dc8dd5dcc43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42b0fd14a1e44d7a"/>
    <x:sheet xmlns:r="http://schemas.openxmlformats.org/officeDocument/2006/relationships" name="RebateCalc" sheetId="2" r:id="R30050788163247b7"/>
    <x:sheet xmlns:r="http://schemas.openxmlformats.org/officeDocument/2006/relationships" name="Checks" sheetId="3" r:id="Raeca89f93c7647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f1e28ca3bc407e" /><Relationship Type="http://schemas.openxmlformats.org/officeDocument/2006/relationships/theme" Target="/xl/theme/theme1.xml" Id="Rc904f3b3ebad4ab1" /><Relationship Type="http://schemas.openxmlformats.org/officeDocument/2006/relationships/sharedStrings" Target="/xl/sharedStrings.xml" Id="Ra47ec52bc042431a" /><Relationship Type="http://schemas.openxmlformats.org/officeDocument/2006/relationships/worksheet" Target="/xl/worksheets/sheet1.xml" Id="R42b0fd14a1e44d7a" /><Relationship Type="http://schemas.openxmlformats.org/officeDocument/2006/relationships/worksheet" Target="/xl/worksheets/sheet2.xml" Id="R30050788163247b7" /><Relationship Type="http://schemas.openxmlformats.org/officeDocument/2006/relationships/worksheet" Target="/xl/worksheets/sheet3.xml" Id="Raeca89f93c7647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180000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180000</x:v>
      </x:c>
      <x:c r="M6" s="49" t="n">
        <x:f>MAX(0,C6-MAX(B6,D6)+1)</x:f>
        <x:v>90</x:v>
      </x:c>
      <x:c r="N6" s="50" t="n">
        <x:f>IF(L6&lt;100000,0,IF(L6&lt;250000,0.02,IF(L6&lt;500000,0.03,0.04)))</x:f>
        <x:v>0.02</x:v>
      </x:c>
      <x:c r="O6" s="48" t="n">
        <x:f>L6*N6</x:f>
        <x:v>3600</x:v>
      </x:c>
      <x:c r="P6" s="51" t="n">
        <x:f>IF(AND(J6&gt;=1,K6&lt;&gt;"Y"),0,IF(AND(H6&lt;0.95,I6&gt;0.02),0.6,IF(OR(H6&lt;0.95,I6&gt;0.02),0.75,1)))</x:f>
        <x:v>1</x:v>
      </x:c>
      <x:c r="Q6" s="51" t="n">
        <x:f>IF(M6&lt;90,0.5,1)</x:f>
        <x:v>1</x:v>
      </x:c>
      <x:c r="R6" s="48" t="n">
        <x:f>O6*P6*Q6</x:f>
        <x:v>3600</x:v>
      </x:c>
      <x:c r="S6" s="48" t="n">
        <x:f>ROUND(MIN(R6,20000),2)</x:f>
        <x:v>3600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