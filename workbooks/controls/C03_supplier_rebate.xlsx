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879369eef0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58492f261714a44"/>
    <x:sheet xmlns:r="http://schemas.openxmlformats.org/officeDocument/2006/relationships" name="RebateCalc" sheetId="2" r:id="R8b940039284e4736"/>
    <x:sheet xmlns:r="http://schemas.openxmlformats.org/officeDocument/2006/relationships" name="Checks" sheetId="3" r:id="R2c373ed7a288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</x:numFmts>
  <x:fonts count="11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3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822379a2ab463a" /><Relationship Type="http://schemas.openxmlformats.org/officeDocument/2006/relationships/theme" Target="/xl/theme/theme1.xml" Id="Rafa376ea9cb04b48" /><Relationship Type="http://schemas.openxmlformats.org/officeDocument/2006/relationships/sharedStrings" Target="/xl/sharedStrings.xml" Id="Rdce467f511ba43e5" /><Relationship Type="http://schemas.openxmlformats.org/officeDocument/2006/relationships/worksheet" Target="/xl/worksheets/sheet1.xml" Id="Rd58492f261714a44" /><Relationship Type="http://schemas.openxmlformats.org/officeDocument/2006/relationships/worksheet" Target="/xl/worksheets/sheet2.xml" Id="R8b940039284e4736" /><Relationship Type="http://schemas.openxmlformats.org/officeDocument/2006/relationships/worksheet" Target="/xl/worksheets/sheet3.xml" Id="R2c373ed7a28846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>
      <x:c r="A1" s="19" t="str">
        <x:v>Quarterly Supplier Rebate Calculator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</x:row>
    <x:row r="3">
      <x:c r="A3" s="21" t="str">
        <x:v>Inputs A:K | Controlled calculations L:T | Policy SR-SLA-2026.1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44" customHeight="1">
      <x:c r="A5" s="33" t="str">
        <x:v>Supplier ID</x:v>
      </x:c>
      <x:c r="B5" s="34" t="str">
        <x:v>Period start</x:v>
      </x:c>
      <x:c r="C5" s="34" t="str">
        <x:v>Period end</x:v>
      </x:c>
      <x:c r="D5" s="34" t="str">
        <x:v>Contract start</x:v>
      </x:c>
      <x:c r="E5" s="34" t="str">
        <x:v>Gross eligible invoices</x:v>
      </x:c>
      <x:c r="F5" s="34" t="str">
        <x:v>Returns &amp; credits</x:v>
      </x:c>
      <x:c r="G5" s="34" t="str">
        <x:v>Pass-through charges</x:v>
      </x:c>
      <x:c r="H5" s="34" t="str">
        <x:v>On-time rate</x:v>
      </x:c>
      <x:c r="I5" s="34" t="str">
        <x:v>Defect rate</x:v>
      </x:c>
      <x:c r="J5" s="34" t="str">
        <x:v>Critical incidents</x:v>
      </x:c>
      <x:c r="K5" s="34" t="str">
        <x:v>Critical waiver</x:v>
      </x:c>
      <x:c r="L5" s="34" t="str">
        <x:v>Eligible spend</x:v>
      </x:c>
      <x:c r="M5" s="34" t="str">
        <x:v>Active days</x:v>
      </x:c>
      <x:c r="N5" s="34" t="str">
        <x:v>Tier rate</x:v>
      </x:c>
      <x:c r="O5" s="34" t="str">
        <x:v>Gross rebate</x:v>
      </x:c>
      <x:c r="P5" s="34" t="str">
        <x:v>SLA multiplier</x:v>
      </x:c>
      <x:c r="Q5" s="34" t="str">
        <x:v>Tenure multiplier</x:v>
      </x:c>
      <x:c r="R5" s="34" t="str">
        <x:v>Adjusted rebate</x:v>
      </x:c>
      <x:c r="S5" s="34" t="str">
        <x:v>Final rebate</x:v>
      </x:c>
      <x:c r="T5" s="35" t="str">
        <x:v>Decision code</x:v>
      </x:c>
    </x:row>
    <x:row r="6">
      <x:c r="A6" s="40" t="str">
        <x:v>SUP-1042</x:v>
      </x:c>
      <x:c r="B6" s="44" t="n">
        <x:v>46023</x:v>
      </x:c>
      <x:c r="C6" s="44" t="n">
        <x:v>46112</x:v>
      </x:c>
      <x:c r="D6" s="44" t="n">
        <x:v>45658</x:v>
      </x:c>
      <x:c r="E6" s="45" t="n">
        <x:v>250000</x:v>
      </x:c>
      <x:c r="F6" s="45" t="n">
        <x:v>0</x:v>
      </x:c>
      <x:c r="G6" s="45" t="n">
        <x:v>0</x:v>
      </x:c>
      <x:c r="H6" s="46" t="n">
        <x:v>0.94</x:v>
      </x:c>
      <x:c r="I6" s="46" t="n">
        <x:v>0.01</x:v>
      </x:c>
      <x:c r="J6" s="47" t="n">
        <x:v>1</x:v>
      </x:c>
      <x:c r="K6" s="41" t="str">
        <x:v>Y</x:v>
      </x:c>
      <x:c r="L6" s="48" t="n">
        <x:f>MAX(0,E6-F6-G6)</x:f>
        <x:v>250000</x:v>
      </x:c>
      <x:c r="M6" s="49" t="n">
        <x:f>MAX(0,C6-MAX(B6,D6)+1)</x:f>
        <x:v>90</x:v>
      </x:c>
      <x:c r="N6" s="50" t="n">
        <x:f>IF(L6&lt;100000,0,IF(L6&lt;250000,0.02,IF(L6&lt;500000,0.03,0.04)))</x:f>
        <x:v>0.03</x:v>
      </x:c>
      <x:c r="O6" s="48" t="n">
        <x:f>L6*N6</x:f>
        <x:v>7500</x:v>
      </x:c>
      <x:c r="P6" s="51" t="n">
        <x:f>IF(AND(J6&gt;=1,K6&lt;&gt;"Y"),0,IF(AND(H6&lt;0.95,I6&gt;0.02),0.6,IF(OR(H6&lt;0.95,I6&gt;0.02),0.75,1)))</x:f>
        <x:v>0.75</x:v>
      </x:c>
      <x:c r="Q6" s="51" t="n">
        <x:f>IF(M6&lt;90,0.5,1)</x:f>
        <x:v>1</x:v>
      </x:c>
      <x:c r="R6" s="48" t="n">
        <x:f>O6*P6*Q6</x:f>
        <x:v>5625</x:v>
      </x:c>
      <x:c r="S6" s="48" t="n">
        <x:f>ROUND(MIN(R6,20000),2)</x:f>
        <x:v>5625</x:v>
      </x:c>
      <x:c r="T6" s="43" t="str">
        <x:f>IF(AND(J6&gt;=1,K6&lt;&gt;"Y"),"EXCLUDED_CRITICAL",IF(S6=0,"NO_REBATE","PAYABLE"))</x:f>
        <x:v>PAYABLE</x:v>
      </x:c>
    </x:row>
    <x:row r="8">
      <x:c r="A8" s="54" t="str">
        <x:v>Control note: Settlement formulas implement policy rules RB-101 through RB-303. Formula changes require cited evidence, discriminating counterexamples, a minimal diff, and reviewer approval. The original workbook is immutable.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</x:sheetData>
  <x:mergeCells>
    <x:mergeCell ref="A1:T2"/>
    <x:mergeCell ref="A3:T3"/>
    <x:mergeCell ref="A8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55" t="str">
        <x:v>Model Controls</x:v>
      </x:c>
      <x:c r="B1" s="55"/>
      <x:c r="C1" s="55"/>
      <x:c r="D1" s="55"/>
      <x:c r="E1" s="55"/>
      <x:c r="F1" s="55"/>
    </x:row>
    <x:row r="2">
      <x:c r="A2" s="55"/>
      <x:c r="B2" s="55"/>
      <x:c r="C2" s="55"/>
      <x:c r="D2" s="55"/>
      <x:c r="E2" s="55"/>
      <x:c r="F2" s="55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0.01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56" t="str">
        <x:v>MODEL STATUS</x:v>
      </x:c>
      <x:c r="B10" s="56"/>
      <x:c r="C10" s="56"/>
      <x:c r="D10" s="56"/>
      <x:c r="E10" s="59" t="str">
        <x:f>IF(COUNTIF(E5:E8,"FAIL")=0,"PASS","FAIL")</x:f>
        <x:v>PASS</x:v>
      </x:c>
      <x:c r="F10" s="59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