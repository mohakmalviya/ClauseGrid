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ca50837164180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dcf202c8ed674ea0"/>
    <sheet name="RebateCalc" sheetId="2" r:id="R28809b2a6eed4473"/>
    <sheet name="TierSchedule" sheetId="3" r:id="R22f7e560b35e49be"/>
    <sheet name="Checks" sheetId="4" r:id="Rf0aa090b72bf40f1"/>
    <sheet name="Counterexamples" sheetId="5" r:id="rIdFormulaWitness5"/>
    <sheet name="FormulaWitness_Report" sheetId="6" r:id="rIdFormulaWitness6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  <x:numFmt numFmtId="206" formatCode="$#,##0.0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8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  <x:border>
      <x:left style="thin">
        <x:color rgb="FFB8C4D6"/>
      </x:left>
      <x:right style="thin">
        <x:color rgb="FFB8C4D6"/>
      </x:right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/>
    <x:xf numFmtId="206" fontId="0" fillId="0" borderId="6" xfId="0" applyNumberFormat="1" applyFont="1" applyFill="1" applyBorder="1"/>
    <x:xf numFmtId="206" fontId="0" fillId="0" borderId="14" xfId="0" applyNumberFormat="1" applyFont="1" applyFill="1" applyBorder="1"/>
    <x:xf numFmtId="206" fontId="0" fillId="0" borderId="2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471eef0176ba4fc7" /><Relationship Type="http://schemas.openxmlformats.org/officeDocument/2006/relationships/theme" Target="/xl/theme/theme1.xml" Id="Rd6da27f44f724aa5" /><Relationship Type="http://schemas.openxmlformats.org/officeDocument/2006/relationships/sharedStrings" Target="/xl/sharedStrings.xml" Id="R2eb13cffe8f24935" /><Relationship Type="http://schemas.openxmlformats.org/officeDocument/2006/relationships/worksheet" Target="/xl/worksheets/sheet1.xml" Id="Rdcf202c8ed674ea0" /><Relationship Type="http://schemas.openxmlformats.org/officeDocument/2006/relationships/worksheet" Target="/xl/worksheets/sheet2.xml" Id="R28809b2a6eed4473" /><Relationship Type="http://schemas.openxmlformats.org/officeDocument/2006/relationships/worksheet" Target="/xl/worksheets/sheet3.xml" Id="R22f7e560b35e49be" /><Relationship Type="http://schemas.openxmlformats.org/officeDocument/2006/relationships/worksheet" Target="/xl/worksheets/sheet4.xml" Id="Rf0aa090b72bf40f1" /><Relationship Id="rIdFormulaWitness5" Type="http://schemas.openxmlformats.org/officeDocument/2006/relationships/worksheet" Target="/xl/worksheets/sheet5.xml" /><Relationship Id="rIdFormulaWitness6" Type="http://schemas.openxmlformats.org/officeDocument/2006/relationships/worksheet" Target="/xl/worksheets/sheet6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5" hidden="0" customWidth="1"/>
    <col min="2" max="2" width="14" hidden="0" customWidth="1"/>
    <col min="3" max="3" width="14" hidden="0" customWidth="1"/>
    <col min="4" max="4" width="14" hidden="0" customWidth="1"/>
    <col min="5" max="5" width="18" hidden="0" customWidth="1"/>
    <col min="6" max="6" width="18" hidden="0" customWidth="1"/>
    <col min="7" max="7" width="18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  <col min="19" max="19" width="14" hidden="0" customWidth="1"/>
    <col min="20" max="20" width="22" hidden="0" customWidth="1"/>
  </cols>
  <sheetData>
    <row r="1">
      <c r="A1" s="19" t="str">
        <v>Quarterly Supplier Rebate Calculator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>
      <c r="A3" s="21" t="str">
        <v>Inputs A:K | Controlled calculations L:T | Policy SR-SLA-2026.1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5" ht="44" customHeight="1">
      <c r="A5" s="33" t="str">
        <v>Supplier ID</v>
      </c>
      <c r="B5" s="34" t="str">
        <v>Period start</v>
      </c>
      <c r="C5" s="34" t="str">
        <v>Period end</v>
      </c>
      <c r="D5" s="34" t="str">
        <v>Contract start</v>
      </c>
      <c r="E5" s="34" t="str">
        <v>Gross eligible invoices</v>
      </c>
      <c r="F5" s="34" t="str">
        <v>Returns &amp; credits</v>
      </c>
      <c r="G5" s="34" t="str">
        <v>Pass-through charges</v>
      </c>
      <c r="H5" s="34" t="str">
        <v>On-time rate</v>
      </c>
      <c r="I5" s="34" t="str">
        <v>Defect rate</v>
      </c>
      <c r="J5" s="34" t="str">
        <v>Critical incidents</v>
      </c>
      <c r="K5" s="34" t="str">
        <v>Critical waiver</v>
      </c>
      <c r="L5" s="34" t="str">
        <v>Eligible spend</v>
      </c>
      <c r="M5" s="34" t="str">
        <v>Active days</v>
      </c>
      <c r="N5" s="34" t="str">
        <v>Tier rate</v>
      </c>
      <c r="O5" s="34" t="str">
        <v>Gross rebate</v>
      </c>
      <c r="P5" s="34" t="str">
        <v>SLA multiplier</v>
      </c>
      <c r="Q5" s="34" t="str">
        <v>Effective proration</v>
      </c>
      <c r="R5" s="34" t="str">
        <v>Adjusted rebate</v>
      </c>
      <c r="S5" s="34" t="str">
        <v>Final rebate</v>
      </c>
      <c r="T5" s="35" t="str">
        <v>Decision code</v>
      </c>
    </row>
    <row r="6">
      <c r="A6" s="40" t="str">
        <v>SUP-1042</v>
      </c>
      <c r="B6" s="44" t="n">
        <v>46023</v>
      </c>
      <c r="C6" s="44" t="n">
        <v>46112</v>
      </c>
      <c r="D6" s="44" t="n">
        <v>45658</v>
      </c>
      <c r="E6" s="45" t="n">
        <v>250000</v>
      </c>
      <c r="F6" s="45" t="n">
        <v>0</v>
      </c>
      <c r="G6" s="45" t="n">
        <v>0</v>
      </c>
      <c r="H6" s="46" t="n">
        <v>0.98</v>
      </c>
      <c r="I6" s="46" t="n">
        <v>0.01</v>
      </c>
      <c r="J6" s="47" t="n">
        <v>0</v>
      </c>
      <c r="K6" s="41" t="str">
        <v>N</v>
      </c>
      <c r="L6" s="48" t="n">
        <f>MAX(0,E6-F6-G6)</f>
        <v>250000</v>
      </c>
      <c r="M6" s="49" t="n">
        <f>MAX(0,C6-MAX(B6,D6)+1)</f>
        <v>90</v>
      </c>
      <c r="N6" s="50" t="n">
        <f>LOOKUP(L6,TierSchedule!A5:A8,TierSchedule!B5:B8)</f>
        <v>0.03</v>
      </c>
      <c r="O6" s="48" t="n">
        <f>L6*N6</f>
        <v>7500</v>
      </c>
      <c r="P6" s="51" t="n">
        <f>IF(AND(J6&gt;=1,K6&lt;&gt;"Y"),0,IF(AND(H6&lt;0.95,I6&gt;0.02),0.6,IF(OR(H6&lt;0.95,I6&gt;0.02),0.75,1)))</f>
      </c>
      <c r="Q6" s="51" t="n">
        <f>MIN(1,M6/MAX(1,C6-B6+1))</f>
        <v>1</v>
      </c>
      <c r="R6" s="48" t="n">
        <f>O6*P6*Q6</f>
        <v>7500</v>
      </c>
      <c r="S6" s="48" t="n">
        <f>ROUND(MIN(R6,20000),2)</f>
        <v>7500</v>
      </c>
      <c r="T6" s="43" t="str">
        <f>IF(AND(J6&gt;=1,K6&lt;&gt;"Y"),"EXCLUDED_CRITICAL",IF(S6=0,"NO_REBATE","PAYABLE"))</f>
        <v>PAYABLE</v>
      </c>
    </row>
    <row r="8">
      <c r="A8" s="54" t="str">
        <v>Control note: Settlement formulas implement policy rules RB-101 through RB-303. Formula changes require cited evidence, discriminating counterexamples, a minimal diff, and reviewer approval. The original workbook is immutable.</v>
      </c>
      <c r="B8" s="54"/>
      <c r="C8" s="54"/>
      <c r="D8" s="54"/>
      <c r="E8" s="54"/>
      <c r="F8" s="54"/>
      <c r="G8" s="54"/>
      <c r="H8" s="54"/>
      <c r="I8" s="54"/>
      <c r="J8" s="54"/>
      <c r="K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</row>
  </sheetData>
  <mergeCells>
    <mergeCell ref="A1:T2"/>
    <mergeCell ref="A3:T3"/>
    <mergeCell ref="A8:K10"/>
  </mergeCells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6" t="str">
        <x:v>Controlled ordered tier lookup</x:v>
      </x:c>
      <x:c r="B1" s="56"/>
      <x:c r="C1" s="56"/>
    </x:row>
    <x:row r="2">
      <x:c r="A2" s="56"/>
      <x:c r="B2" s="56"/>
      <x:c r="C2" s="56"/>
    </x:row>
    <x:row r="4">
      <x:c r="A4" s="23" t="str">
        <x:v>Lower bound (inclusive)</x:v>
      </x:c>
      <x:c r="B4" s="23" t="str">
        <x:v>Rate</x:v>
      </x:c>
      <x:c r="C4" s="23" t="str">
        <x:v>Upper-bound behavior</x:v>
      </x:c>
    </x:row>
    <x:row r="5">
      <x:c r="A5" s="64" t="n">
        <x:v>0</x:v>
      </x:c>
      <x:c r="B5" s="67" t="n">
        <x:v>0</x:v>
      </x:c>
      <x:c r="C5" s="58" t="str">
        <x:v>below 100,000</x:v>
      </x:c>
    </x:row>
    <x:row r="6">
      <x:c r="A6" s="65" t="n">
        <x:v>100000</x:v>
      </x:c>
      <x:c r="B6" s="68" t="n">
        <x:v>0.02</x:v>
      </x:c>
      <x:c r="C6" s="61" t="str">
        <x:v>below 250,000</x:v>
      </x:c>
    </x:row>
    <x:row r="7">
      <x:c r="A7" s="65" t="n">
        <x:v>250000</x:v>
      </x:c>
      <x:c r="B7" s="68" t="n">
        <x:v>0.03</x:v>
      </x:c>
      <x:c r="C7" s="61" t="str">
        <x:v>below 500,000</x:v>
      </x:c>
    </x:row>
    <x:row r="8">
      <x:c r="A8" s="66" t="n">
        <x:v>500000</x:v>
      </x:c>
      <x:c r="B8" s="69" t="n">
        <x:v>0.04</x:v>
      </x:c>
      <x:c r="C8" s="63" t="str">
        <x:v>no upper bound</x:v>
      </x:c>
    </x:row>
    <x:row r="10">
      <x:c r="A10" s="54" t="str">
        <x:v>RebateCalc!N6 uses Excel LOOKUP against A5:B8. M03–M05 shift a narrow interval at each inclusive lower bound.</x:v>
      </x:c>
      <x:c r="B10" s="54"/>
      <x:c r="C10" s="54"/>
    </x:row>
    <x:row r="11">
      <x:c r="A11" s="54"/>
      <x:c r="B11" s="54"/>
      <x:c r="C11" s="54"/>
    </x:row>
    <x:row r="12">
      <x:c r="A12" s="54"/>
      <x:c r="B12" s="54"/>
      <x:c r="C12" s="54"/>
    </x:row>
  </x:sheetData>
  <x:mergeCells>
    <x:mergeCell ref="A1:C2"/>
    <x:mergeCell ref="A10:C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70" t="str">
        <x:v>Model Controls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71" t="str">
        <x:v>MODEL STATUS</x:v>
      </x:c>
      <x:c r="B10" s="71"/>
      <x:c r="C10" s="71"/>
      <x:c r="D10" s="71"/>
      <x:c r="E10" s="74" t="str">
        <x:f>IF(COUNTIF(E5:E8,"FAIL")=0,"PASS","FAIL")</x:f>
        <x:v>PASS</x:v>
      </x:c>
      <x:c r="F10" s="74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4" customWidth="1"/>
    <col min="3" max="3" width="24" customWidth="1"/>
    <col min="4" max="4" width="12" customWidth="1"/>
    <col min="5" max="5" width="20" customWidth="1"/>
    <col min="6" max="6" width="52" customWidth="1"/>
    <col min="7" max="7" width="34" customWidth="1"/>
    <col min="8" max="8" width="34" customWidth="1"/>
  </cols>
  <sheetData>
    <row r="1" ht="26" customHeight="1">
      <c r="A1" t="inlineStr" s="33">
        <is>
          <t>Case</t>
        </is>
      </c>
      <c r="B1" t="inlineStr" s="33">
        <is>
          <t>Category</t>
        </is>
      </c>
      <c r="C1" t="inlineStr" s="33">
        <is>
          <t>Rule IDs</t>
        </is>
      </c>
      <c r="D1" t="inlineStr" s="33">
        <is>
          <t>Status</t>
        </is>
      </c>
      <c r="E1" t="inlineStr" s="33">
        <is>
          <t>Mismatch cells</t>
        </is>
      </c>
      <c r="F1" t="inlineStr" s="33">
        <is>
          <t>Inputs</t>
        </is>
      </c>
      <c r="G1" t="inlineStr" s="33">
        <is>
          <t>Expected</t>
        </is>
      </c>
      <c r="H1" t="inlineStr" s="33">
        <is>
          <t>Actual</t>
        </is>
      </c>
    </row>
    <row r="2">
      <c r="A2" t="inlineStr">
        <is>
          <t>V01</t>
        </is>
      </c>
      <c r="B2" t="inlineStr">
        <is>
          <t>ordinary</t>
        </is>
      </c>
      <c r="C2" t="inlineStr">
        <is>
          <t>RB-101, RB-102, RB-103</t>
        </is>
      </c>
      <c r="D2" t="inlineStr">
        <is>
          <t>PASS</t>
        </is>
      </c>
      <c r="E2" t="inlineStr">
        <is>
          <t/>
        </is>
      </c>
      <c r="F2" t="inlineStr">
        <is>
          <t>gross=180000; returns=0; pass_through=0; on_time=0.98; defect=0.01; incidents=0; waiver=N; contract_start=2025-01-01</t>
        </is>
      </c>
      <c r="G2" t="inlineStr">
        <is>
          <t>S6=3600; T6=PAYABLE</t>
        </is>
      </c>
      <c r="H2" t="inlineStr">
        <is>
          <t>S6=3600; T6=PAYABLE</t>
        </is>
      </c>
    </row>
    <row r="3">
      <c r="A3" t="inlineStr">
        <is>
          <t>V02</t>
        </is>
      </c>
      <c r="B3" t="inlineStr">
        <is>
          <t>deduction_returns</t>
        </is>
      </c>
      <c r="C3" t="inlineStr">
        <is>
          <t>RB-101</t>
        </is>
      </c>
      <c r="D3" t="inlineStr">
        <is>
          <t>PASS</t>
        </is>
      </c>
      <c r="E3" t="inlineStr">
        <is>
          <t/>
        </is>
      </c>
      <c r="F3" t="inlineStr">
        <is>
          <t>gross=260000; returns=15000; pass_through=0; on_time=0.98; defect=0.01; incidents=0; waiver=N; contract_start=2025-01-01</t>
        </is>
      </c>
      <c r="G3" t="inlineStr">
        <is>
          <t>S6=4900; T6=PAYABLE</t>
        </is>
      </c>
      <c r="H3" t="inlineStr">
        <is>
          <t>S6=4900; T6=PAYABLE</t>
        </is>
      </c>
    </row>
    <row r="4">
      <c r="A4" t="inlineStr">
        <is>
          <t>V03</t>
        </is>
      </c>
      <c r="B4" t="inlineStr">
        <is>
          <t>deduction_passthrough</t>
        </is>
      </c>
      <c r="C4" t="inlineStr">
        <is>
          <t>RB-101</t>
        </is>
      </c>
      <c r="D4" t="inlineStr">
        <is>
          <t>PASS</t>
        </is>
      </c>
      <c r="E4" t="inlineStr">
        <is>
          <t/>
        </is>
      </c>
      <c r="F4" t="inlineStr">
        <is>
          <t>gross=260000; returns=0; pass_through=15000; on_time=0.98; defect=0.01; incidents=0; waiver=N; contract_start=2025-01-01</t>
        </is>
      </c>
      <c r="G4" t="inlineStr">
        <is>
          <t>S6=4900; T6=PAYABLE</t>
        </is>
      </c>
      <c r="H4" t="inlineStr">
        <is>
          <t>S6=4900; T6=PAYABLE</t>
        </is>
      </c>
    </row>
    <row r="5">
      <c r="A5" t="inlineStr">
        <is>
          <t>V04</t>
        </is>
      </c>
      <c r="B5" t="inlineStr">
        <is>
          <t>tier_100000_below</t>
        </is>
      </c>
      <c r="C5" t="inlineStr">
        <is>
          <t>RB-102</t>
        </is>
      </c>
      <c r="D5" t="inlineStr">
        <is>
          <t>PASS</t>
        </is>
      </c>
      <c r="E5" t="inlineStr">
        <is>
          <t/>
        </is>
      </c>
      <c r="F5" t="inlineStr">
        <is>
          <t>gross=99999.99; returns=0; pass_through=0; on_time=0.98; defect=0.01; incidents=0; waiver=N; contract_start=2025-01-01</t>
        </is>
      </c>
      <c r="G5" t="inlineStr">
        <is>
          <t>S6=0; T6=NO_REBATE</t>
        </is>
      </c>
      <c r="H5" t="inlineStr">
        <is>
          <t>S6=0; T6=NO_REBATE</t>
        </is>
      </c>
    </row>
    <row r="6">
      <c r="A6" t="inlineStr">
        <is>
          <t>V05</t>
        </is>
      </c>
      <c r="B6" t="inlineStr">
        <is>
          <t>tier_100000_at</t>
        </is>
      </c>
      <c r="C6" t="inlineStr">
        <is>
          <t>RB-102</t>
        </is>
      </c>
      <c r="D6" t="inlineStr">
        <is>
          <t>PASS</t>
        </is>
      </c>
      <c r="E6" t="inlineStr">
        <is>
          <t/>
        </is>
      </c>
      <c r="F6" t="inlineStr">
        <is>
          <t>gross=100000; returns=0; pass_through=0; on_time=0.98; defect=0.01; incidents=0; waiver=N; contract_start=2025-01-01</t>
        </is>
      </c>
      <c r="G6" t="inlineStr">
        <is>
          <t>S6=2000; T6=PAYABLE</t>
        </is>
      </c>
      <c r="H6" t="inlineStr">
        <is>
          <t>S6=2000; T6=PAYABLE</t>
        </is>
      </c>
    </row>
    <row r="7">
      <c r="A7" t="inlineStr">
        <is>
          <t>V06</t>
        </is>
      </c>
      <c r="B7" t="inlineStr">
        <is>
          <t>tier_100000_above</t>
        </is>
      </c>
      <c r="C7" t="inlineStr">
        <is>
          <t>RB-102</t>
        </is>
      </c>
      <c r="D7" t="inlineStr">
        <is>
          <t>PASS</t>
        </is>
      </c>
      <c r="E7" t="inlineStr">
        <is>
          <t/>
        </is>
      </c>
      <c r="F7" t="inlineStr">
        <is>
          <t>gross=100000.01; returns=0; pass_through=0; on_time=0.98; defect=0.01; incidents=0; waiver=N; contract_start=2025-01-01</t>
        </is>
      </c>
      <c r="G7" t="inlineStr">
        <is>
          <t>S6=2000; T6=PAYABLE</t>
        </is>
      </c>
      <c r="H7" t="inlineStr">
        <is>
          <t>S6=2000; T6=PAYABLE</t>
        </is>
      </c>
    </row>
    <row r="8">
      <c r="A8" t="inlineStr">
        <is>
          <t>V07</t>
        </is>
      </c>
      <c r="B8" t="inlineStr">
        <is>
          <t>tier_250000_below</t>
        </is>
      </c>
      <c r="C8" t="inlineStr">
        <is>
          <t>RB-102</t>
        </is>
      </c>
      <c r="D8" t="inlineStr">
        <is>
          <t>PASS</t>
        </is>
      </c>
      <c r="E8" t="inlineStr">
        <is>
          <t/>
        </is>
      </c>
      <c r="F8" t="inlineStr">
        <is>
          <t>gross=249999.99; returns=0; pass_through=0; on_time=0.98; defect=0.01; incidents=0; waiver=N; contract_start=2025-01-01</t>
        </is>
      </c>
      <c r="G8" t="inlineStr">
        <is>
          <t>S6=5000; T6=PAYABLE</t>
        </is>
      </c>
      <c r="H8" t="inlineStr">
        <is>
          <t>S6=5000; T6=PAYABLE</t>
        </is>
      </c>
    </row>
    <row r="9">
      <c r="A9" t="inlineStr">
        <is>
          <t>V08</t>
        </is>
      </c>
      <c r="B9" t="inlineStr">
        <is>
          <t>tier_250000_at</t>
        </is>
      </c>
      <c r="C9" t="inlineStr">
        <is>
          <t>RB-102</t>
        </is>
      </c>
      <c r="D9" t="inlineStr">
        <is>
          <t>PASS</t>
        </is>
      </c>
      <c r="E9" t="inlineStr">
        <is>
          <t/>
        </is>
      </c>
      <c r="F9" t="inlineStr">
        <is>
          <t>gross=250000; returns=0; pass_through=0; on_time=0.98; defect=0.01; incidents=0; waiver=N; contract_start=2025-01-01</t>
        </is>
      </c>
      <c r="G9" t="inlineStr">
        <is>
          <t>S6=7500; T6=PAYABLE</t>
        </is>
      </c>
      <c r="H9" t="inlineStr">
        <is>
          <t>S6=7500; T6=PAYABLE</t>
        </is>
      </c>
    </row>
    <row r="10">
      <c r="A10" t="inlineStr">
        <is>
          <t>V09</t>
        </is>
      </c>
      <c r="B10" t="inlineStr">
        <is>
          <t>tier_250000_above</t>
        </is>
      </c>
      <c r="C10" t="inlineStr">
        <is>
          <t>RB-102</t>
        </is>
      </c>
      <c r="D10" t="inlineStr">
        <is>
          <t>PASS</t>
        </is>
      </c>
      <c r="E10" t="inlineStr">
        <is>
          <t/>
        </is>
      </c>
      <c r="F10" t="inlineStr">
        <is>
          <t>gross=250000.01; returns=0; pass_through=0; on_time=0.98; defect=0.01; incidents=0; waiver=N; contract_start=2025-01-01</t>
        </is>
      </c>
      <c r="G10" t="inlineStr">
        <is>
          <t>S6=7500; T6=PAYABLE</t>
        </is>
      </c>
      <c r="H10" t="inlineStr">
        <is>
          <t>S6=7500; T6=PAYABLE</t>
        </is>
      </c>
    </row>
    <row r="11">
      <c r="A11" t="inlineStr">
        <is>
          <t>V10</t>
        </is>
      </c>
      <c r="B11" t="inlineStr">
        <is>
          <t>tier_500000_below</t>
        </is>
      </c>
      <c r="C11" t="inlineStr">
        <is>
          <t>RB-102</t>
        </is>
      </c>
      <c r="D11" t="inlineStr">
        <is>
          <t>PASS</t>
        </is>
      </c>
      <c r="E11" t="inlineStr">
        <is>
          <t/>
        </is>
      </c>
      <c r="F11" t="inlineStr">
        <is>
          <t>gross=499999.99; returns=0; pass_through=0; on_time=0.98; defect=0.01; incidents=0; waiver=N; contract_start=2025-01-01</t>
        </is>
      </c>
      <c r="G11" t="inlineStr">
        <is>
          <t>S6=15000; T6=PAYABLE</t>
        </is>
      </c>
      <c r="H11" t="inlineStr">
        <is>
          <t>S6=15000; T6=PAYABLE</t>
        </is>
      </c>
    </row>
    <row r="12">
      <c r="A12" t="inlineStr">
        <is>
          <t>V11</t>
        </is>
      </c>
      <c r="B12" t="inlineStr">
        <is>
          <t>tier_500000_at</t>
        </is>
      </c>
      <c r="C12" t="inlineStr">
        <is>
          <t>RB-102</t>
        </is>
      </c>
      <c r="D12" t="inlineStr">
        <is>
          <t>PASS</t>
        </is>
      </c>
      <c r="E12" t="inlineStr">
        <is>
          <t/>
        </is>
      </c>
      <c r="F12" t="inlineStr">
        <is>
          <t>gross=500000; returns=0; pass_through=0; on_time=0.98; defect=0.01; incidents=0; waiver=N; contract_start=2025-01-01</t>
        </is>
      </c>
      <c r="G12" t="inlineStr">
        <is>
          <t>S6=20000; T6=PAYABLE</t>
        </is>
      </c>
      <c r="H12" t="inlineStr">
        <is>
          <t>S6=20000; T6=PAYABLE</t>
        </is>
      </c>
    </row>
    <row r="13">
      <c r="A13" t="inlineStr">
        <is>
          <t>V12</t>
        </is>
      </c>
      <c r="B13" t="inlineStr">
        <is>
          <t>tier_500000_above</t>
        </is>
      </c>
      <c r="C13" t="inlineStr">
        <is>
          <t>RB-102</t>
        </is>
      </c>
      <c r="D13" t="inlineStr">
        <is>
          <t>PASS</t>
        </is>
      </c>
      <c r="E13" t="inlineStr">
        <is>
          <t/>
        </is>
      </c>
      <c r="F13" t="inlineStr">
        <is>
          <t>gross=500000.01; returns=0; pass_through=0; on_time=0.98; defect=0.01; incidents=0; waiver=N; contract_start=2025-01-01</t>
        </is>
      </c>
      <c r="G13" t="inlineStr">
        <is>
          <t>S6=20000; T6=PAYABLE</t>
        </is>
      </c>
      <c r="H13" t="inlineStr">
        <is>
          <t>S6=20000; T6=PAYABLE</t>
        </is>
      </c>
    </row>
    <row r="14">
      <c r="A14" t="inlineStr">
        <is>
          <t>V13</t>
        </is>
      </c>
      <c r="B14" t="inlineStr">
        <is>
          <t>delivery_boundary</t>
        </is>
      </c>
      <c r="C14" t="inlineStr">
        <is>
          <t>RB-202</t>
        </is>
      </c>
      <c r="D14" t="inlineStr">
        <is>
          <t>PASS</t>
        </is>
      </c>
      <c r="E14" t="inlineStr">
        <is>
          <t/>
        </is>
      </c>
      <c r="F14" t="inlineStr">
        <is>
          <t>gross=250000; returns=0; pass_through=0; on_time=0.95; defect=0.01; incidents=0; waiver=N; contract_start=2025-01-01</t>
        </is>
      </c>
      <c r="G14" t="inlineStr">
        <is>
          <t>S6=7500; T6=PAYABLE</t>
        </is>
      </c>
      <c r="H14" t="inlineStr">
        <is>
          <t>S6=7500; T6=PAYABLE</t>
        </is>
      </c>
    </row>
    <row r="15">
      <c r="A15" t="inlineStr">
        <is>
          <t>V14</t>
        </is>
      </c>
      <c r="B15" t="inlineStr">
        <is>
          <t>quality_boundary</t>
        </is>
      </c>
      <c r="C15" t="inlineStr">
        <is>
          <t>RB-202</t>
        </is>
      </c>
      <c r="D15" t="inlineStr">
        <is>
          <t>PASS</t>
        </is>
      </c>
      <c r="E15" t="inlineStr">
        <is>
          <t/>
        </is>
      </c>
      <c r="F15" t="inlineStr">
        <is>
          <t>gross=250000; returns=0; pass_through=0; on_time=0.98; defect=0.02; incidents=0; waiver=N; contract_start=2025-01-01</t>
        </is>
      </c>
      <c r="G15" t="inlineStr">
        <is>
          <t>S6=7500; T6=PAYABLE</t>
        </is>
      </c>
      <c r="H15" t="inlineStr">
        <is>
          <t>S6=7500; T6=PAYABLE</t>
        </is>
      </c>
    </row>
    <row r="16">
      <c r="A16" t="inlineStr">
        <is>
          <t>V15</t>
        </is>
      </c>
      <c r="B16" t="inlineStr">
        <is>
          <t>critical_precedence</t>
        </is>
      </c>
      <c r="C16" t="inlineStr">
        <is>
          <t>RB-201</t>
        </is>
      </c>
      <c r="D16" t="inlineStr">
        <is>
          <t>PASS</t>
        </is>
      </c>
      <c r="E16" t="inlineStr">
        <is>
          <t/>
        </is>
      </c>
      <c r="F16" t="inlineStr">
        <is>
          <t>gross=250000; returns=0; pass_through=0; on_time=0.98; defect=0.01; incidents=1; waiver=N; contract_start=2025-01-01</t>
        </is>
      </c>
      <c r="G16" t="inlineStr">
        <is>
          <t>S6=0; T6=EXCLUDED_CRITICAL</t>
        </is>
      </c>
      <c r="H16" t="inlineStr">
        <is>
          <t>S6=0; T6=EXCLUDED_CRITICAL</t>
        </is>
      </c>
    </row>
    <row r="17">
      <c r="A17" t="inlineStr">
        <is>
          <t>V16</t>
        </is>
      </c>
      <c r="B17" t="inlineStr">
        <is>
          <t>both_sla_breaches</t>
        </is>
      </c>
      <c r="C17" t="inlineStr">
        <is>
          <t>RB-202</t>
        </is>
      </c>
      <c r="D17" t="inlineStr">
        <is>
          <t>PASS</t>
        </is>
      </c>
      <c r="E17" t="inlineStr">
        <is>
          <t/>
        </is>
      </c>
      <c r="F17" t="inlineStr">
        <is>
          <t>gross=250000; returns=0; pass_through=0; on_time=0.94; defect=0.03; incidents=0; waiver=N; contract_start=2025-01-01</t>
        </is>
      </c>
      <c r="G17" t="inlineStr">
        <is>
          <t>S6=4500; T6=PAYABLE</t>
        </is>
      </c>
      <c r="H17" t="inlineStr">
        <is>
          <t>S6=4500; T6=PAYABLE</t>
        </is>
      </c>
    </row>
    <row r="18">
      <c r="A18" t="inlineStr">
        <is>
          <t>V17</t>
        </is>
      </c>
      <c r="B18" t="inlineStr">
        <is>
          <t>waiver_scope</t>
        </is>
      </c>
      <c r="C18" t="inlineStr">
        <is>
          <t>RB-203</t>
        </is>
      </c>
      <c r="D18" t="inlineStr">
        <is>
          <t>FAIL</t>
        </is>
      </c>
      <c r="E18" t="inlineStr">
        <is>
          <t>P6, R6, S6</t>
        </is>
      </c>
      <c r="F18" t="inlineStr">
        <is>
          <t>gross=250000; returns=0; pass_through=0; on_time=0.94; defect=0.01; incidents=1; waiver=Y; contract_start=2025-01-01</t>
        </is>
      </c>
      <c r="G18" t="inlineStr">
        <is>
          <t>P6=0.75; R6=5625; S6=5625</t>
        </is>
      </c>
      <c r="H18" t="inlineStr">
        <is>
          <t>P6=1; R6=7500; S6=7500</t>
        </is>
      </c>
    </row>
    <row r="19">
      <c r="A19" t="inlineStr">
        <is>
          <t>V18</t>
        </is>
      </c>
      <c r="B19" t="inlineStr">
        <is>
          <t>proration_full_period</t>
        </is>
      </c>
      <c r="C19" t="inlineStr">
        <is>
          <t>RB-204, RB-205</t>
        </is>
      </c>
      <c r="D19" t="inlineStr">
        <is>
          <t>PASS</t>
        </is>
      </c>
      <c r="E19" t="inlineStr">
        <is>
          <t/>
        </is>
      </c>
      <c r="F19" t="inlineStr">
        <is>
          <t>gross=250000; returns=0; pass_through=0; on_time=0.98; defect=0.01; incidents=0; waiver=N; contract_start=2026-01-01</t>
        </is>
      </c>
      <c r="G19" t="inlineStr">
        <is>
          <t>S6=7500; T6=PAYABLE</t>
        </is>
      </c>
      <c r="H19" t="inlineStr">
        <is>
          <t>S6=7500; T6=PAYABLE</t>
        </is>
      </c>
    </row>
    <row r="20">
      <c r="A20" t="inlineStr">
        <is>
          <t>V19</t>
        </is>
      </c>
      <c r="B20" t="inlineStr">
        <is>
          <t>proration_89_of_90_days</t>
        </is>
      </c>
      <c r="C20" t="inlineStr">
        <is>
          <t>RB-204, RB-205</t>
        </is>
      </c>
      <c r="D20" t="inlineStr">
        <is>
          <t>PASS</t>
        </is>
      </c>
      <c r="E20" t="inlineStr">
        <is>
          <t/>
        </is>
      </c>
      <c r="F20" t="inlineStr">
        <is>
          <t>gross=250000; returns=0; pass_through=0; on_time=0.98; defect=0.01; incidents=0; waiver=N; contract_start=2026-01-02</t>
        </is>
      </c>
      <c r="G20" t="inlineStr">
        <is>
          <t>S6=7416.67; T6=PAYABLE</t>
        </is>
      </c>
      <c r="H20" t="inlineStr">
        <is>
          <t>S6=7416.67; T6=PAYABLE</t>
        </is>
      </c>
    </row>
    <row r="21">
      <c r="A21" t="inlineStr">
        <is>
          <t>V20</t>
        </is>
      </c>
      <c r="B21" t="inlineStr">
        <is>
          <t>cap_after_penalty</t>
        </is>
      </c>
      <c r="C21" t="inlineStr">
        <is>
          <t>RB-301, RB-302</t>
        </is>
      </c>
      <c r="D21" t="inlineStr">
        <is>
          <t>PASS</t>
        </is>
      </c>
      <c r="E21" t="inlineStr">
        <is>
          <t/>
        </is>
      </c>
      <c r="F21" t="inlineStr">
        <is>
          <t>gross=600000; returns=0; pass_through=0; on_time=0.94; defect=0.01; incidents=0; waiver=N; contract_start=2025-01-01</t>
        </is>
      </c>
      <c r="G21" t="inlineStr">
        <is>
          <t>S6=18000; T6=PAYABLE</t>
        </is>
      </c>
      <c r="H21" t="inlineStr">
        <is>
          <t>S6=18000; T6=PAYABLE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84" customWidth="1"/>
  </cols>
  <sheetData>
    <row r="1" ht="26" customHeight="1">
      <c r="A1" t="inlineStr" s="33">
        <is>
          <t>FormulaWitness review report</t>
        </is>
      </c>
      <c r="B1" t="inlineStr" s="33">
        <is>
          <t>Value</t>
        </is>
      </c>
    </row>
    <row r="2">
      <c r="A2" t="inlineStr">
        <is>
          <t>run_id</t>
        </is>
      </c>
      <c r="B2" t="inlineStr">
        <is>
          <t>advanced-f569ca78b557</t>
        </is>
      </c>
    </row>
    <row r="3">
      <c r="A3" t="inlineStr">
        <is>
          <t>method</t>
        </is>
      </c>
      <c r="B3" t="inlineStr">
        <is>
          <t>formulawitness-advanced</t>
        </is>
      </c>
    </row>
    <row r="4">
      <c r="A4" t="inlineStr">
        <is>
          <t>decision</t>
        </is>
      </c>
      <c r="B4" t="inlineStr">
        <is>
          <t>REPAIR</t>
        </is>
      </c>
    </row>
    <row r="5">
      <c r="A5" t="inlineStr">
        <is>
          <t>source_sha256</t>
        </is>
      </c>
      <c r="B5" t="inlineStr">
        <is>
          <t>d3485903dc07d662e1373ac59993b19ec54ff733ae2de411450acefea8af8762</t>
        </is>
      </c>
    </row>
    <row r="6">
      <c r="A6" t="inlineStr">
        <is>
          <t>rules_sha256</t>
        </is>
      </c>
      <c r="B6" t="inlineStr">
        <is>
          <t>72f8b8dfbf2104d453678f0c258031f1b7cadf0890e19af4727e163324f79b84</t>
        </is>
      </c>
    </row>
    <row r="7">
      <c r="A7" t="inlineStr">
        <is>
          <t>approval_hash</t>
        </is>
      </c>
      <c r="B7" t="inlineStr">
        <is>
          <t/>
        </is>
      </c>
    </row>
    <row r="8">
      <c r="A8" t="inlineStr">
        <is>
          <t>changed_cell_count</t>
        </is>
      </c>
      <c r="B8" t="inlineStr">
        <is>
          <t>1</t>
        </is>
      </c>
    </row>
    <row r="9">
      <c r="A9" t="inlineStr">
        <is>
          <t>visible_cases</t>
        </is>
      </c>
      <c r="B9" t="inlineStr">
        <is>
          <t>20</t>
        </is>
      </c>
    </row>
    <row r="10">
      <c r="A10" t="inlineStr">
        <is>
          <t>note</t>
        </is>
      </c>
      <c r="B10" t="inlineStr">
        <is>
          <t>Source workbook preserved; this copy contains reviewer-approved changes only.</t>
        </is>
      </c>
    </row>
  </sheetData>
</worksheet>
</file>